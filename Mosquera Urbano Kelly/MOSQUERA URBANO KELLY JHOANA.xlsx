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ttps://d.docs.live.net/11f8202cf822157d/Documentos/Escritorio/"/>
    </mc:Choice>
  </mc:AlternateContent>
  <xr:revisionPtr revIDLastSave="0" documentId="8_{F46845C3-D7AF-4F48-9084-0456671B2823}"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8" i="1" l="1"/>
  <c r="N9" i="1"/>
  <c r="N7" i="1"/>
  <c r="K3" i="1"/>
  <c r="K9" i="1"/>
  <c r="K7" i="1"/>
  <c r="K6" i="1"/>
  <c r="K5" i="1"/>
  <c r="K4" i="1"/>
  <c r="K17" i="1"/>
  <c r="N3" i="1"/>
  <c r="L3" i="1"/>
  <c r="J4" i="1"/>
  <c r="J3" i="1"/>
  <c r="N13" i="1"/>
  <c r="K14" i="1"/>
  <c r="K16" i="1"/>
  <c r="K15" i="1"/>
  <c r="K13" i="1"/>
  <c r="I3" i="1" s="1"/>
  <c r="I4" i="1" l="1"/>
  <c r="L4" i="1" l="1"/>
  <c r="N4" i="1" s="1"/>
  <c r="I5" i="1" l="1"/>
  <c r="J5" i="1" l="1"/>
  <c r="L5" i="1"/>
  <c r="N5" i="1"/>
  <c r="I6" i="1"/>
  <c r="J6" i="1" s="1"/>
  <c r="L6" i="1" l="1"/>
  <c r="N6" i="1"/>
  <c r="I7" i="1" l="1"/>
  <c r="J7" i="1" s="1"/>
  <c r="L7" i="1" l="1"/>
  <c r="I8" i="1" l="1"/>
  <c r="J8" i="1" s="1"/>
  <c r="I9" i="1" l="1"/>
  <c r="J9" i="1" s="1"/>
  <c r="L8" i="1"/>
  <c r="N8" i="1" l="1"/>
  <c r="L9" i="1"/>
  <c r="L10" i="1" l="1"/>
  <c r="M3" i="1" s="1"/>
  <c r="O3" i="1" s="1"/>
  <c r="M4" i="1" l="1"/>
  <c r="O4" i="1" s="1"/>
  <c r="M5" i="1"/>
  <c r="M6" i="1"/>
  <c r="M7" i="1"/>
  <c r="M8" i="1"/>
  <c r="M9" i="1"/>
  <c r="O5" i="1" l="1"/>
  <c r="O6" i="1" s="1"/>
  <c r="O7" i="1" s="1"/>
  <c r="O8" i="1" s="1"/>
  <c r="O9" i="1" s="1"/>
  <c r="M10" i="1"/>
</calcChain>
</file>

<file path=xl/sharedStrings.xml><?xml version="1.0" encoding="utf-8"?>
<sst xmlns="http://schemas.openxmlformats.org/spreadsheetml/2006/main" count="123" uniqueCount="30">
  <si>
    <t xml:space="preserve">ID </t>
  </si>
  <si>
    <t xml:space="preserve">PAIS </t>
  </si>
  <si>
    <t>ESTADO  SOCIOECONOMICO</t>
  </si>
  <si>
    <t>APPS DESCARGADAS</t>
  </si>
  <si>
    <t>TIEMPO EN CELULAR (HORAS)</t>
  </si>
  <si>
    <t xml:space="preserve">LIMITE INFERIOR </t>
  </si>
  <si>
    <t xml:space="preserve">LIMITE SUPERIOR </t>
  </si>
  <si>
    <t>PUNTO MEDIO (MARCA DE CLASE)</t>
  </si>
  <si>
    <t>FRECUENCIA ABSOLUTA</t>
  </si>
  <si>
    <t>FRECUENCIA RELATIVA</t>
  </si>
  <si>
    <t>FRECUENCIA ACUMULADA</t>
  </si>
  <si>
    <t>FRECUENCIA RELATIVA ACUMULADA</t>
  </si>
  <si>
    <t>México|</t>
  </si>
  <si>
    <t>Medio</t>
  </si>
  <si>
    <t>Colombia</t>
  </si>
  <si>
    <t>Bajo</t>
  </si>
  <si>
    <t>Argentina</t>
  </si>
  <si>
    <t>Alto</t>
  </si>
  <si>
    <t>México</t>
  </si>
  <si>
    <t>Chile</t>
  </si>
  <si>
    <t>Perú</t>
  </si>
  <si>
    <t>DATO MINIMO</t>
  </si>
  <si>
    <t xml:space="preserve">NUMERO DE OBSERVACIONES </t>
  </si>
  <si>
    <t>DATO MAXIMO</t>
  </si>
  <si>
    <t>RANGO</t>
  </si>
  <si>
    <t>NUMERO DE CLASE</t>
  </si>
  <si>
    <t>ARBITRARIAMENTE</t>
  </si>
  <si>
    <t>AMPLITUD DE CLASE</t>
  </si>
  <si>
    <t xml:space="preserve">GRAFICAS </t>
  </si>
  <si>
    <t>TABLA DE FRECUENCIA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</si>
</sst>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Aptos Narrow"/>
      <family val="2"/>
      <scheme val="minor"/>
    </font>
    <font>
      <sz val="10"/>
      <color rgb="FF000000"/>
      <name val="Arial"/>
      <family val="2"/>
    </font>
    <font>
      <b/>
      <sz val="11"/>
      <color theme="1"/>
      <name val="Aptos Narrow"/>
      <family val="2"/>
      <scheme val="minor"/>
    </font>
    <font>
      <b/>
      <sz val="10"/>
      <color rgb="FF000000"/>
      <name val="Arial"/>
      <family val="2"/>
    </font>
    <font>
      <sz val="10"/>
      <color rgb="FF000000"/>
      <name val="Arial"/>
      <family val="2"/>
    </font>
    <font>
      <b/>
      <sz val="9"/>
      <color rgb="FF000000"/>
      <name val="Arial Nova"/>
      <family val="2"/>
    </font>
    <font>
      <b/>
      <sz val="9"/>
      <color theme="1"/>
      <name val="Arial Nova"/>
      <family val="2"/>
    </font>
    <font>
      <sz val="11"/>
      <color theme="1"/>
      <name val="Arial Nova"/>
      <family val="2"/>
    </font>
    <font>
      <b/>
      <sz val="11"/>
      <color rgb="FF000000"/>
      <name val="Aptos Narrow"/>
      <family val="2"/>
      <scheme val="minor"/>
    </font>
  </fonts>
  <fills count="9">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1">
    <xf numFmtId="0" fontId="0" fillId="0" borderId="0" xfId="0"/>
    <xf numFmtId="0" fontId="1" fillId="0" borderId="0" xfId="0" applyFont="1" applyAlignment="1">
      <alignment horizontal="center"/>
    </xf>
    <xf numFmtId="0" fontId="3" fillId="2" borderId="2" xfId="0" applyFont="1" applyFill="1" applyBorder="1" applyAlignment="1">
      <alignment horizontal="center"/>
    </xf>
    <xf numFmtId="0" fontId="2" fillId="2" borderId="2" xfId="0" applyFont="1" applyFill="1" applyBorder="1" applyAlignment="1">
      <alignment horizontal="center"/>
    </xf>
    <xf numFmtId="0" fontId="0" fillId="3" borderId="1" xfId="0" applyFill="1" applyBorder="1" applyAlignment="1">
      <alignment horizontal="center"/>
    </xf>
    <xf numFmtId="0" fontId="1" fillId="3" borderId="1" xfId="0" applyFont="1" applyFill="1" applyBorder="1" applyAlignment="1">
      <alignment horizontal="center"/>
    </xf>
    <xf numFmtId="0" fontId="4" fillId="3" borderId="1" xfId="0" applyFont="1" applyFill="1" applyBorder="1" applyAlignment="1">
      <alignment horizontal="center"/>
    </xf>
    <xf numFmtId="0" fontId="3" fillId="0" borderId="0" xfId="0" applyFont="1"/>
    <xf numFmtId="0" fontId="0" fillId="0" borderId="0" xfId="0" applyAlignment="1">
      <alignment horizontal="center" wrapText="1"/>
    </xf>
    <xf numFmtId="1" fontId="0" fillId="0" borderId="0" xfId="0" applyNumberFormat="1"/>
    <xf numFmtId="0" fontId="0" fillId="0" borderId="1" xfId="0" applyBorder="1"/>
    <xf numFmtId="1" fontId="0" fillId="0" borderId="1" xfId="0" applyNumberFormat="1" applyBorder="1"/>
    <xf numFmtId="164" fontId="0" fillId="0" borderId="1" xfId="0" applyNumberFormat="1" applyBorder="1"/>
    <xf numFmtId="10" fontId="0" fillId="0" borderId="1" xfId="0" applyNumberFormat="1" applyBorder="1"/>
    <xf numFmtId="0" fontId="2" fillId="0" borderId="0" xfId="0" applyFont="1"/>
    <xf numFmtId="0" fontId="2" fillId="0" borderId="0" xfId="0" applyFont="1" applyAlignment="1">
      <alignment horizontal="center"/>
    </xf>
    <xf numFmtId="0" fontId="0" fillId="0" borderId="0" xfId="0" applyAlignment="1">
      <alignment horizontal="center"/>
    </xf>
    <xf numFmtId="1" fontId="0" fillId="0" borderId="2" xfId="0" applyNumberFormat="1" applyBorder="1"/>
    <xf numFmtId="0" fontId="0" fillId="0" borderId="2" xfId="0" applyBorder="1"/>
    <xf numFmtId="10" fontId="0" fillId="0" borderId="2" xfId="0" applyNumberFormat="1" applyBorder="1"/>
    <xf numFmtId="0" fontId="0" fillId="6" borderId="1" xfId="0" applyFill="1" applyBorder="1"/>
    <xf numFmtId="10" fontId="0" fillId="6" borderId="1" xfId="0" applyNumberFormat="1" applyFill="1" applyBorder="1"/>
    <xf numFmtId="0" fontId="0" fillId="0" borderId="1" xfId="0" applyBorder="1" applyAlignment="1">
      <alignment horizontal="center"/>
    </xf>
    <xf numFmtId="0" fontId="0" fillId="0" borderId="2" xfId="0" applyBorder="1" applyAlignment="1">
      <alignment horizontal="center"/>
    </xf>
    <xf numFmtId="0" fontId="0" fillId="6" borderId="1" xfId="0" applyFill="1" applyBorder="1" applyAlignment="1">
      <alignment horizontal="center"/>
    </xf>
    <xf numFmtId="0" fontId="7" fillId="7" borderId="1" xfId="0" applyFont="1" applyFill="1" applyBorder="1"/>
    <xf numFmtId="165" fontId="0" fillId="0" borderId="2" xfId="0" applyNumberFormat="1" applyBorder="1"/>
    <xf numFmtId="0" fontId="8" fillId="5" borderId="3" xfId="0" applyFont="1" applyFill="1" applyBorder="1" applyAlignment="1"/>
    <xf numFmtId="0" fontId="0" fillId="5" borderId="4" xfId="0" applyFill="1" applyBorder="1" applyAlignment="1"/>
    <xf numFmtId="0" fontId="0" fillId="5" borderId="5" xfId="0" applyFill="1" applyBorder="1" applyAlignment="1"/>
    <xf numFmtId="0" fontId="8" fillId="5" borderId="3" xfId="0" applyFont="1" applyFill="1" applyBorder="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5" borderId="5" xfId="0" applyFill="1" applyBorder="1" applyAlignment="1">
      <alignment horizontal="center"/>
    </xf>
    <xf numFmtId="0" fontId="6" fillId="4" borderId="6" xfId="0" applyFont="1" applyFill="1" applyBorder="1" applyAlignment="1">
      <alignment horizontal="center" vertical="center"/>
    </xf>
    <xf numFmtId="0" fontId="5" fillId="4" borderId="6" xfId="0" applyFont="1" applyFill="1" applyBorder="1" applyAlignment="1">
      <alignment horizontal="center" wrapText="1"/>
    </xf>
    <xf numFmtId="0" fontId="5" fillId="4" borderId="6" xfId="0" applyFont="1" applyFill="1" applyBorder="1" applyAlignment="1">
      <alignment horizontal="center" vertical="top" wrapText="1"/>
    </xf>
    <xf numFmtId="0" fontId="5" fillId="4" borderId="6" xfId="0" applyFont="1" applyFill="1" applyBorder="1" applyAlignment="1">
      <alignment horizontal="center" vertical="center" wrapText="1"/>
    </xf>
    <xf numFmtId="0" fontId="2" fillId="8" borderId="7" xfId="0" applyFont="1" applyFill="1" applyBorder="1" applyAlignment="1">
      <alignment horizontal="center"/>
    </xf>
    <xf numFmtId="0" fontId="0" fillId="8" borderId="8" xfId="0" applyFill="1" applyBorder="1" applyAlignment="1">
      <alignment horizontal="center"/>
    </xf>
    <xf numFmtId="0" fontId="0" fillId="8" borderId="9" xfId="0" applyFill="1" applyBorder="1" applyAlignment="1">
      <alignment horizontal="center"/>
    </xf>
  </cellXfs>
  <cellStyles count="1">
    <cellStyle name="Normal" xfId="0" builtinId="0"/>
  </cellStyles>
  <dxfs count="0"/>
  <tableStyles count="0" defaultTableStyle="TableStyleMedium2" defaultPivotStyle="PivotStyleMedium9"/>
  <colors>
    <mruColors>
      <color rgb="FF49D6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Polígono de Frecuencias de Apps Descargadas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Hoja1!$L$2</c:f>
              <c:strCache>
                <c:ptCount val="1"/>
                <c:pt idx="0">
                  <c:v>FRECUENCIA ABSOLUTA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cat>
            <c:numRef>
              <c:f>Hoja1!$K$3:$K$9</c:f>
              <c:numCache>
                <c:formatCode>0</c:formatCode>
                <c:ptCount val="7"/>
                <c:pt idx="0">
                  <c:v>37.5</c:v>
                </c:pt>
                <c:pt idx="1">
                  <c:v>52.285714285714285</c:v>
                </c:pt>
                <c:pt idx="2">
                  <c:v>67.071428571428569</c:v>
                </c:pt>
                <c:pt idx="3">
                  <c:v>82.071428571428569</c:v>
                </c:pt>
                <c:pt idx="4" formatCode="0.0">
                  <c:v>97.071428571428569</c:v>
                </c:pt>
                <c:pt idx="5">
                  <c:v>112.07142857142857</c:v>
                </c:pt>
                <c:pt idx="6">
                  <c:v>127.07142857142856</c:v>
                </c:pt>
              </c:numCache>
            </c:numRef>
          </c:cat>
          <c:val>
            <c:numRef>
              <c:f>Hoja1!$L$3:$L$9</c:f>
              <c:numCache>
                <c:formatCode>General</c:formatCode>
                <c:ptCount val="7"/>
                <c:pt idx="0">
                  <c:v>7</c:v>
                </c:pt>
                <c:pt idx="1">
                  <c:v>6</c:v>
                </c:pt>
                <c:pt idx="2">
                  <c:v>10</c:v>
                </c:pt>
                <c:pt idx="3">
                  <c:v>9</c:v>
                </c:pt>
                <c:pt idx="4">
                  <c:v>8</c:v>
                </c:pt>
                <c:pt idx="5">
                  <c:v>5</c:v>
                </c:pt>
                <c:pt idx="6">
                  <c:v>5</c:v>
                </c:pt>
              </c:numCache>
            </c:numRef>
          </c:val>
          <c:smooth val="0"/>
          <c:extLst>
            <c:ext xmlns:c16="http://schemas.microsoft.com/office/drawing/2014/chart" uri="{C3380CC4-5D6E-409C-BE32-E72D297353CC}">
              <c16:uniqueId val="{00000000-45C9-4C52-AA6D-1A6FAAE7EB3A}"/>
            </c:ext>
          </c:extLst>
        </c:ser>
        <c:dLbls>
          <c:showLegendKey val="0"/>
          <c:showVal val="0"/>
          <c:showCatName val="0"/>
          <c:showSerName val="0"/>
          <c:showPercent val="0"/>
          <c:showBubbleSize val="0"/>
        </c:dLbls>
        <c:marker val="1"/>
        <c:smooth val="0"/>
        <c:axId val="802370568"/>
        <c:axId val="881308168"/>
      </c:lineChart>
      <c:catAx>
        <c:axId val="802370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MARCA DE CLASE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1308168"/>
        <c:crosses val="autoZero"/>
        <c:auto val="1"/>
        <c:lblAlgn val="ctr"/>
        <c:lblOffset val="100"/>
        <c:noMultiLvlLbl val="0"/>
      </c:catAx>
      <c:valAx>
        <c:axId val="881308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wordArtVert"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FRECUENCIA ABSOLUTA</a:t>
                </a:r>
              </a:p>
            </c:rich>
          </c:tx>
          <c:overlay val="0"/>
          <c:spPr>
            <a:noFill/>
            <a:ln>
              <a:noFill/>
            </a:ln>
            <a:effectLst/>
          </c:spPr>
          <c:txPr>
            <a:bodyPr rot="0" spcFirstLastPara="1" vertOverflow="ellipsis" vert="wordArtVert"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2370568"/>
        <c:crosses val="autoZero"/>
        <c:crossBetween val="between"/>
      </c:valAx>
      <c:spPr>
        <a:noFill/>
        <a:ln>
          <a:noFill/>
        </a:ln>
        <a:effectLst/>
      </c:spPr>
    </c:plotArea>
    <c:legend>
      <c:legendPos val="b"/>
      <c:layout>
        <c:manualLayout>
          <c:xMode val="edge"/>
          <c:yMode val="edge"/>
          <c:x val="0.31123853635942567"/>
          <c:y val="0.92630012288926311"/>
          <c:w val="0.35399351551644281"/>
          <c:h val="6.5029356879523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rgbClr val="00B0F0"/>
      </a:solidFill>
      <a:prstDash val="solid"/>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OJIVA O CURVA ACUMULADA DE APPS DESCARGADAS </a:t>
            </a:r>
          </a:p>
        </c:rich>
      </c:tx>
      <c:layout>
        <c:manualLayout>
          <c:xMode val="edge"/>
          <c:yMode val="edge"/>
          <c:x val="0.13534218971189063"/>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Hoja1!$N$2</c:f>
              <c:strCache>
                <c:ptCount val="1"/>
                <c:pt idx="0">
                  <c:v>FRECUENCIA ACUMULADA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Hoja1!$K$3:$K$9</c:f>
              <c:numCache>
                <c:formatCode>0</c:formatCode>
                <c:ptCount val="7"/>
                <c:pt idx="0">
                  <c:v>37.5</c:v>
                </c:pt>
                <c:pt idx="1">
                  <c:v>52.285714285714285</c:v>
                </c:pt>
                <c:pt idx="2">
                  <c:v>67.071428571428569</c:v>
                </c:pt>
                <c:pt idx="3">
                  <c:v>82.071428571428569</c:v>
                </c:pt>
                <c:pt idx="4" formatCode="0.0">
                  <c:v>97.071428571428569</c:v>
                </c:pt>
                <c:pt idx="5">
                  <c:v>112.07142857142857</c:v>
                </c:pt>
                <c:pt idx="6">
                  <c:v>127.07142857142856</c:v>
                </c:pt>
              </c:numCache>
            </c:numRef>
          </c:xVal>
          <c:yVal>
            <c:numRef>
              <c:f>Hoja1!$N$3:$N$9</c:f>
              <c:numCache>
                <c:formatCode>General</c:formatCode>
                <c:ptCount val="7"/>
                <c:pt idx="0">
                  <c:v>7</c:v>
                </c:pt>
                <c:pt idx="1">
                  <c:v>13</c:v>
                </c:pt>
                <c:pt idx="2">
                  <c:v>23</c:v>
                </c:pt>
                <c:pt idx="3">
                  <c:v>32</c:v>
                </c:pt>
                <c:pt idx="4">
                  <c:v>40</c:v>
                </c:pt>
                <c:pt idx="5">
                  <c:v>45</c:v>
                </c:pt>
                <c:pt idx="6">
                  <c:v>50</c:v>
                </c:pt>
              </c:numCache>
            </c:numRef>
          </c:yVal>
          <c:smooth val="0"/>
          <c:extLst>
            <c:ext xmlns:c16="http://schemas.microsoft.com/office/drawing/2014/chart" uri="{C3380CC4-5D6E-409C-BE32-E72D297353CC}">
              <c16:uniqueId val="{00000000-017C-4878-9DE9-F3587C52B9F4}"/>
            </c:ext>
          </c:extLst>
        </c:ser>
        <c:dLbls>
          <c:showLegendKey val="0"/>
          <c:showVal val="0"/>
          <c:showCatName val="0"/>
          <c:showSerName val="0"/>
          <c:showPercent val="0"/>
          <c:showBubbleSize val="0"/>
        </c:dLbls>
        <c:axId val="40914952"/>
        <c:axId val="42938888"/>
      </c:scatterChart>
      <c:valAx>
        <c:axId val="40914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MARCA DE CLASE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2938888"/>
        <c:crosses val="autoZero"/>
        <c:crossBetween val="midCat"/>
      </c:valAx>
      <c:valAx>
        <c:axId val="42938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FRECUENCIA ACUMULADA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0914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552450</xdr:colOff>
      <xdr:row>39</xdr:row>
      <xdr:rowOff>123825</xdr:rowOff>
    </xdr:from>
    <xdr:to>
      <xdr:col>15</xdr:col>
      <xdr:colOff>561975</xdr:colOff>
      <xdr:row>49</xdr:row>
      <xdr:rowOff>38100</xdr:rowOff>
    </xdr:to>
    <xdr:sp macro="" textlink="">
      <xdr:nvSpPr>
        <xdr:cNvPr id="10" name="CuadroTexto 9">
          <a:extLst>
            <a:ext uri="{FF2B5EF4-FFF2-40B4-BE49-F238E27FC236}">
              <a16:creationId xmlns:a16="http://schemas.microsoft.com/office/drawing/2014/main" id="{DF03F509-384B-00D7-D933-80BE832AE76A}"/>
            </a:ext>
            <a:ext uri="{147F2762-F138-4A5C-976F-8EAC2B608ADB}">
              <a16:predDERef xmlns:a16="http://schemas.microsoft.com/office/drawing/2014/main" pred="{47B3A97D-30DB-1B3B-E706-48F980F56829}"/>
            </a:ext>
          </a:extLst>
        </xdr:cNvPr>
        <xdr:cNvSpPr txBox="1"/>
      </xdr:nvSpPr>
      <xdr:spPr>
        <a:xfrm>
          <a:off x="14744700" y="7839075"/>
          <a:ext cx="3790950" cy="1819275"/>
        </a:xfrm>
        <a:prstGeom prst="rect">
          <a:avLst/>
        </a:prstGeom>
        <a:ln/>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GRAFICO 1 HISTOGRAMA</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El histograma muestra la distribución de las aplicaciones descargadas por los usuarios. Se observa que el intervalo comprendido entre 60 y 75 aplicaciones presenta la mayor frecuencia, con 10 observaciones, indicando que es el rango donde se concentra la mayor cantidad de usuarios. Asimismo, las frecuencias disminuyen gradualmente hacia los extremos, evidenciando una menor cantidad de usuarios con niveles muy bajos o muy altos de descargas.</a:t>
          </a:r>
        </a:p>
        <a:p>
          <a:pPr marL="0" indent="0" algn="l"/>
          <a:endParaRPr lang="en-US" sz="1100">
            <a:solidFill>
              <a:schemeClr val="dk1"/>
            </a:solidFill>
            <a:latin typeface="+mn-lt"/>
            <a:ea typeface="+mn-lt"/>
            <a:cs typeface="+mn-lt"/>
          </a:endParaRPr>
        </a:p>
      </xdr:txBody>
    </xdr:sp>
    <xdr:clientData/>
  </xdr:twoCellAnchor>
  <xdr:twoCellAnchor>
    <xdr:from>
      <xdr:col>16</xdr:col>
      <xdr:colOff>647700</xdr:colOff>
      <xdr:row>37</xdr:row>
      <xdr:rowOff>66675</xdr:rowOff>
    </xdr:from>
    <xdr:to>
      <xdr:col>24</xdr:col>
      <xdr:colOff>28575</xdr:colOff>
      <xdr:row>54</xdr:row>
      <xdr:rowOff>123825</xdr:rowOff>
    </xdr:to>
    <xdr:graphicFrame macro="">
      <xdr:nvGraphicFramePr>
        <xdr:cNvPr id="5" name="Gráfico 4">
          <a:extLst>
            <a:ext uri="{FF2B5EF4-FFF2-40B4-BE49-F238E27FC236}">
              <a16:creationId xmlns:a16="http://schemas.microsoft.com/office/drawing/2014/main" id="{48CD7C01-23C0-EDB8-EE91-8AC209A8681C}"/>
            </a:ext>
            <a:ext uri="{147F2762-F138-4A5C-976F-8EAC2B608ADB}">
              <a16:predDERef xmlns:a16="http://schemas.microsoft.com/office/drawing/2014/main" pred="{DF03F509-384B-00D7-D933-80BE832AE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123825</xdr:colOff>
      <xdr:row>38</xdr:row>
      <xdr:rowOff>38100</xdr:rowOff>
    </xdr:from>
    <xdr:to>
      <xdr:col>31</xdr:col>
      <xdr:colOff>209550</xdr:colOff>
      <xdr:row>51</xdr:row>
      <xdr:rowOff>85725</xdr:rowOff>
    </xdr:to>
    <xdr:sp macro="" textlink="">
      <xdr:nvSpPr>
        <xdr:cNvPr id="2" name="CuadroTexto 1">
          <a:extLst>
            <a:ext uri="{FF2B5EF4-FFF2-40B4-BE49-F238E27FC236}">
              <a16:creationId xmlns:a16="http://schemas.microsoft.com/office/drawing/2014/main" id="{F35C61EC-78E4-3D6D-B0BF-964B3133DEE1}"/>
            </a:ext>
            <a:ext uri="{147F2762-F138-4A5C-976F-8EAC2B608ADB}">
              <a16:predDERef xmlns:a16="http://schemas.microsoft.com/office/drawing/2014/main" pred="{48CD7C01-23C0-EDB8-EE91-8AC209A8681C}"/>
            </a:ext>
          </a:extLst>
        </xdr:cNvPr>
        <xdr:cNvSpPr txBox="1"/>
      </xdr:nvSpPr>
      <xdr:spPr>
        <a:xfrm>
          <a:off x="25955625" y="7562850"/>
          <a:ext cx="4352925" cy="2524125"/>
        </a:xfrm>
        <a:prstGeom prst="rect">
          <a:avLst/>
        </a:prstGeom>
        <a:ln/>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GRAFICO  2 </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Interpretación del Polígono de Frecuencias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El polígono de frecuencias muestra el comportamiento y la tendencia de la distribución de las aplicaciones descargadas por los usuarios. La gráfica presenta un aumento progresivo de la frecuencia hasta alcanzar su punto máximo en la marca de clase 67, con una frecuencia absoluta de 10 usuarios, y posteriormente evidencia una disminución gradual. Esto indica que la mayor concentración de observaciones se encuentra en los valores intermedios de la distribución, mientras que las cantidades muy bajas o muy altas de aplicaciones descargadas presentan una menor frecuencia. En general, la distribución muestra que la mayoría de los usuarios registra niveles moderados de descargas.</a:t>
          </a:r>
        </a:p>
      </xdr:txBody>
    </xdr:sp>
    <xdr:clientData/>
  </xdr:twoCellAnchor>
  <xdr:twoCellAnchor>
    <xdr:from>
      <xdr:col>8</xdr:col>
      <xdr:colOff>57150</xdr:colOff>
      <xdr:row>70</xdr:row>
      <xdr:rowOff>38100</xdr:rowOff>
    </xdr:from>
    <xdr:to>
      <xdr:col>11</xdr:col>
      <xdr:colOff>876300</xdr:colOff>
      <xdr:row>84</xdr:row>
      <xdr:rowOff>114300</xdr:rowOff>
    </xdr:to>
    <xdr:graphicFrame macro="">
      <xdr:nvGraphicFramePr>
        <xdr:cNvPr id="19" name="Gráfico 18">
          <a:extLst>
            <a:ext uri="{FF2B5EF4-FFF2-40B4-BE49-F238E27FC236}">
              <a16:creationId xmlns:a16="http://schemas.microsoft.com/office/drawing/2014/main" id="{6D889A4F-9C42-E185-70EA-3B022A162B42}"/>
            </a:ext>
            <a:ext uri="{147F2762-F138-4A5C-976F-8EAC2B608ADB}">
              <a16:predDERef xmlns:a16="http://schemas.microsoft.com/office/drawing/2014/main" pred="{F35C61EC-78E4-3D6D-B0BF-964B3133D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466725</xdr:colOff>
      <xdr:row>73</xdr:row>
      <xdr:rowOff>0</xdr:rowOff>
    </xdr:from>
    <xdr:to>
      <xdr:col>15</xdr:col>
      <xdr:colOff>990600</xdr:colOff>
      <xdr:row>80</xdr:row>
      <xdr:rowOff>28575</xdr:rowOff>
    </xdr:to>
    <xdr:sp macro="" textlink="">
      <xdr:nvSpPr>
        <xdr:cNvPr id="3" name="CuadroTexto 2">
          <a:extLst>
            <a:ext uri="{FF2B5EF4-FFF2-40B4-BE49-F238E27FC236}">
              <a16:creationId xmlns:a16="http://schemas.microsoft.com/office/drawing/2014/main" id="{CFD0A33D-BF51-461B-AEDD-19361EA29FB9}"/>
            </a:ext>
            <a:ext uri="{147F2762-F138-4A5C-976F-8EAC2B608ADB}">
              <a16:predDERef xmlns:a16="http://schemas.microsoft.com/office/drawing/2014/main" pred="{6D889A4F-9C42-E185-70EA-3B022A162B42}"/>
            </a:ext>
          </a:extLst>
        </xdr:cNvPr>
        <xdr:cNvSpPr txBox="1"/>
      </xdr:nvSpPr>
      <xdr:spPr>
        <a:xfrm>
          <a:off x="14658975" y="14192250"/>
          <a:ext cx="4305300" cy="1362075"/>
        </a:xfrm>
        <a:prstGeom prst="rect">
          <a:avLst/>
        </a:prstGeom>
        <a:ln/>
      </xdr:spPr>
      <xdr:style>
        <a:lnRef idx="1">
          <a:schemeClr val="accent2"/>
        </a:lnRef>
        <a:fillRef idx="2">
          <a:schemeClr val="accent2"/>
        </a:fillRef>
        <a:effectRef idx="1">
          <a:schemeClr val="accent2"/>
        </a:effectRef>
        <a:fontRef idx="minor">
          <a:schemeClr val="dk1"/>
        </a:fontRef>
      </xdr:style>
      <xdr:txBody>
        <a:bodyPr spcFirstLastPara="0" wrap="square" lIns="91440" tIns="45720" rIns="91440" bIns="45720" rtlCol="0" anchor="t">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GRAFICO  3</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La ojiva muestra el comportamiento acumulado de las aplicaciones descargadas por los usuarios. Se observa un crecimiento continuo de la frecuencia acumulada hasta alcanzar las 50 observaciones, permitiendo identificar la cantidad de usuarios que se encuentra por debajo de determinados niveles de descarga.</a:t>
          </a:r>
        </a:p>
        <a:p>
          <a:pPr marL="0" indent="0" algn="l"/>
          <a:endParaRPr lang="en-US" sz="1100">
            <a:solidFill>
              <a:schemeClr val="dk1"/>
            </a:solidFill>
            <a:latin typeface="+mn-lt"/>
            <a:ea typeface="+mn-lt"/>
            <a:cs typeface="+mn-lt"/>
          </a:endParaRPr>
        </a:p>
      </xdr:txBody>
    </xdr:sp>
    <xdr:clientData/>
  </xdr:twoCellAnchor>
  <xdr:twoCellAnchor editAs="oneCell">
    <xdr:from>
      <xdr:col>8</xdr:col>
      <xdr:colOff>542925</xdr:colOff>
      <xdr:row>38</xdr:row>
      <xdr:rowOff>95250</xdr:rowOff>
    </xdr:from>
    <xdr:to>
      <xdr:col>12</xdr:col>
      <xdr:colOff>323850</xdr:colOff>
      <xdr:row>54</xdr:row>
      <xdr:rowOff>76200</xdr:rowOff>
    </xdr:to>
    <xdr:pic>
      <xdr:nvPicPr>
        <xdr:cNvPr id="6" name="Imagen 5">
          <a:extLst>
            <a:ext uri="{FF2B5EF4-FFF2-40B4-BE49-F238E27FC236}">
              <a16:creationId xmlns:a16="http://schemas.microsoft.com/office/drawing/2014/main" id="{DDD63F22-FC89-378F-A319-62AF7C827581}"/>
            </a:ext>
            <a:ext uri="{147F2762-F138-4A5C-976F-8EAC2B608ADB}">
              <a16:predDERef xmlns:a16="http://schemas.microsoft.com/office/drawing/2014/main" pred="{CFD0A33D-BF51-461B-AEDD-19361EA29FB9}"/>
            </a:ext>
          </a:extLst>
        </xdr:cNvPr>
        <xdr:cNvPicPr>
          <a:picLocks noChangeAspect="1"/>
        </xdr:cNvPicPr>
      </xdr:nvPicPr>
      <xdr:blipFill>
        <a:blip xmlns:r="http://schemas.openxmlformats.org/officeDocument/2006/relationships" r:embed="rId3"/>
        <a:stretch>
          <a:fillRect/>
        </a:stretch>
      </xdr:blipFill>
      <xdr:spPr>
        <a:xfrm>
          <a:off x="9553575" y="7620000"/>
          <a:ext cx="5048250" cy="3028950"/>
        </a:xfrm>
        <a:prstGeom prst="rect">
          <a:avLst/>
        </a:prstGeom>
      </xdr:spPr>
    </xdr:pic>
    <xdr:clientData/>
  </xdr:twoCellAnchor>
  <xdr:twoCellAnchor>
    <xdr:from>
      <xdr:col>9</xdr:col>
      <xdr:colOff>57150</xdr:colOff>
      <xdr:row>24</xdr:row>
      <xdr:rowOff>180975</xdr:rowOff>
    </xdr:from>
    <xdr:to>
      <xdr:col>14</xdr:col>
      <xdr:colOff>904875</xdr:colOff>
      <xdr:row>37</xdr:row>
      <xdr:rowOff>95250</xdr:rowOff>
    </xdr:to>
    <xdr:sp macro="" textlink="">
      <xdr:nvSpPr>
        <xdr:cNvPr id="7" name="CuadroTexto 6">
          <a:extLst>
            <a:ext uri="{FF2B5EF4-FFF2-40B4-BE49-F238E27FC236}">
              <a16:creationId xmlns:a16="http://schemas.microsoft.com/office/drawing/2014/main" id="{0396BF74-6A4B-CE08-8E95-E3CA4E795338}"/>
            </a:ext>
            <a:ext uri="{147F2762-F138-4A5C-976F-8EAC2B608ADB}">
              <a16:predDERef xmlns:a16="http://schemas.microsoft.com/office/drawing/2014/main" pred="{DDD63F22-FC89-378F-A319-62AF7C827581}"/>
            </a:ext>
          </a:extLst>
        </xdr:cNvPr>
        <xdr:cNvSpPr txBox="1"/>
      </xdr:nvSpPr>
      <xdr:spPr>
        <a:xfrm>
          <a:off x="10287000" y="5038725"/>
          <a:ext cx="6915150" cy="2390775"/>
        </a:xfrm>
        <a:prstGeom prst="rect">
          <a:avLst/>
        </a:prstGeom>
        <a:solidFill>
          <a:schemeClr val="accent6">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HISTOGRAMA </a:t>
          </a:r>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Datos utilizados para la construcción de la gráfica</a:t>
          </a:r>
        </a:p>
        <a:p>
          <a:pPr marL="0" indent="0" algn="l"/>
          <a:endParaRPr lang="en-US" sz="1100">
            <a:latin typeface="+mn-lt"/>
            <a:ea typeface="+mn-lt"/>
            <a:cs typeface="+mn-lt"/>
          </a:endParaRPr>
        </a:p>
        <a:p>
          <a:pPr marL="0" indent="0" algn="l"/>
          <a:r>
            <a:rPr lang="en-US" sz="1100">
              <a:latin typeface="+mn-lt"/>
              <a:ea typeface="+mn-lt"/>
              <a:cs typeface="+mn-lt"/>
            </a:rPr>
            <a:t>Intervalos de clase (Límites Inferiores y Superiores).</a:t>
          </a:r>
        </a:p>
        <a:p>
          <a:pPr marL="0" indent="0" algn="l"/>
          <a:r>
            <a:rPr lang="en-US" sz="1100">
              <a:latin typeface="+mn-lt"/>
              <a:ea typeface="+mn-lt"/>
              <a:cs typeface="+mn-lt"/>
            </a:rPr>
            <a:t>Frecuencia Absoluta (fi).</a:t>
          </a:r>
        </a:p>
        <a:p>
          <a:pPr marL="0" indent="0" algn="l"/>
          <a:endParaRPr lang="en-US" sz="1100">
            <a:latin typeface="+mn-lt"/>
            <a:ea typeface="+mn-lt"/>
            <a:cs typeface="+mn-lt"/>
          </a:endParaRPr>
        </a:p>
        <a:p>
          <a:pPr marL="0" indent="0" algn="l"/>
          <a:r>
            <a:rPr lang="en-US" sz="1100">
              <a:latin typeface="+mn-lt"/>
              <a:ea typeface="+mn-lt"/>
              <a:cs typeface="+mn-lt"/>
            </a:rPr>
            <a:t>Objetivo de la gráfica</a:t>
          </a:r>
        </a:p>
        <a:p>
          <a:pPr marL="0" indent="0" algn="l"/>
          <a:endParaRPr lang="en-US" sz="1100">
            <a:latin typeface="+mn-lt"/>
            <a:ea typeface="+mn-lt"/>
            <a:cs typeface="+mn-lt"/>
          </a:endParaRPr>
        </a:p>
        <a:p>
          <a:pPr marL="0" indent="0" algn="l"/>
          <a:r>
            <a:rPr lang="en-US" sz="1100">
              <a:latin typeface="+mn-lt"/>
              <a:ea typeface="+mn-lt"/>
              <a:cs typeface="+mn-lt"/>
            </a:rPr>
            <a:t>El histograma tiene como propósito representar la distribución de las aplicaciones descargadas por los usuarios mediante barras. Permite identificar los intervalos donde se concentra la mayor cantidad de observaciones y visualizar el comportamiento general de los datos.</a:t>
          </a:r>
        </a:p>
      </xdr:txBody>
    </xdr:sp>
    <xdr:clientData/>
  </xdr:twoCellAnchor>
  <xdr:twoCellAnchor>
    <xdr:from>
      <xdr:col>16</xdr:col>
      <xdr:colOff>1095375</xdr:colOff>
      <xdr:row>24</xdr:row>
      <xdr:rowOff>104775</xdr:rowOff>
    </xdr:from>
    <xdr:to>
      <xdr:col>24</xdr:col>
      <xdr:colOff>28575</xdr:colOff>
      <xdr:row>36</xdr:row>
      <xdr:rowOff>57150</xdr:rowOff>
    </xdr:to>
    <xdr:sp macro="" textlink="">
      <xdr:nvSpPr>
        <xdr:cNvPr id="8" name="CuadroTexto 7">
          <a:extLst>
            <a:ext uri="{FF2B5EF4-FFF2-40B4-BE49-F238E27FC236}">
              <a16:creationId xmlns:a16="http://schemas.microsoft.com/office/drawing/2014/main" id="{CD25530B-E165-4AD9-50B0-79852917E6EA}"/>
            </a:ext>
            <a:ext uri="{147F2762-F138-4A5C-976F-8EAC2B608ADB}">
              <a16:predDERef xmlns:a16="http://schemas.microsoft.com/office/drawing/2014/main" pred="{0396BF74-6A4B-CE08-8E95-E3CA4E795338}"/>
            </a:ext>
          </a:extLst>
        </xdr:cNvPr>
        <xdr:cNvSpPr txBox="1"/>
      </xdr:nvSpPr>
      <xdr:spPr>
        <a:xfrm>
          <a:off x="20107275" y="4962525"/>
          <a:ext cx="5753100" cy="2238375"/>
        </a:xfrm>
        <a:prstGeom prst="rect">
          <a:avLst/>
        </a:prstGeom>
        <a:solidFill>
          <a:schemeClr val="accent6">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POLIGONO</a:t>
          </a:r>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Datos utilizados para la construcción de la gráfica</a:t>
          </a:r>
        </a:p>
        <a:p>
          <a:pPr marL="0" indent="0" algn="l"/>
          <a:endParaRPr lang="en-US" sz="1100">
            <a:latin typeface="+mn-lt"/>
            <a:ea typeface="+mn-lt"/>
            <a:cs typeface="+mn-lt"/>
          </a:endParaRPr>
        </a:p>
        <a:p>
          <a:pPr marL="0" indent="0" algn="l"/>
          <a:r>
            <a:rPr lang="en-US" sz="1100">
              <a:latin typeface="+mn-lt"/>
              <a:ea typeface="+mn-lt"/>
              <a:cs typeface="+mn-lt"/>
            </a:rPr>
            <a:t>Marca de Clase (Punto Medio).</a:t>
          </a:r>
        </a:p>
        <a:p>
          <a:pPr marL="0" indent="0" algn="l"/>
          <a:r>
            <a:rPr lang="en-US" sz="1100">
              <a:latin typeface="+mn-lt"/>
              <a:ea typeface="+mn-lt"/>
              <a:cs typeface="+mn-lt"/>
            </a:rPr>
            <a:t>Frecuencia Absoluta (fi).</a:t>
          </a:r>
        </a:p>
        <a:p>
          <a:pPr marL="0" indent="0" algn="l"/>
          <a:endParaRPr lang="en-US" sz="1100">
            <a:latin typeface="+mn-lt"/>
            <a:ea typeface="+mn-lt"/>
            <a:cs typeface="+mn-lt"/>
          </a:endParaRPr>
        </a:p>
        <a:p>
          <a:pPr marL="0" indent="0" algn="l"/>
          <a:r>
            <a:rPr lang="en-US" sz="1100">
              <a:latin typeface="+mn-lt"/>
              <a:ea typeface="+mn-lt"/>
              <a:cs typeface="+mn-lt"/>
            </a:rPr>
            <a:t>Objetivo de la gráfica</a:t>
          </a:r>
        </a:p>
        <a:p>
          <a:pPr marL="0" indent="0" algn="l"/>
          <a:endParaRPr lang="en-US" sz="1100">
            <a:latin typeface="+mn-lt"/>
            <a:ea typeface="+mn-lt"/>
            <a:cs typeface="+mn-lt"/>
          </a:endParaRPr>
        </a:p>
        <a:p>
          <a:pPr marL="0" indent="0" algn="l"/>
          <a:r>
            <a:rPr lang="en-US" sz="1100">
              <a:latin typeface="+mn-lt"/>
              <a:ea typeface="+mn-lt"/>
              <a:cs typeface="+mn-lt"/>
            </a:rPr>
            <a:t>El polígono de frecuencias permite visualizar la tendencia de la distribución de los datos mediante una línea que une las frecuencias de cada intervalo. Facilita la identificación de los puntos de mayor y menor concentración de observaciones.</a:t>
          </a:r>
        </a:p>
      </xdr:txBody>
    </xdr:sp>
    <xdr:clientData/>
  </xdr:twoCellAnchor>
  <xdr:twoCellAnchor>
    <xdr:from>
      <xdr:col>8</xdr:col>
      <xdr:colOff>333375</xdr:colOff>
      <xdr:row>57</xdr:row>
      <xdr:rowOff>180975</xdr:rowOff>
    </xdr:from>
    <xdr:to>
      <xdr:col>13</xdr:col>
      <xdr:colOff>171450</xdr:colOff>
      <xdr:row>69</xdr:row>
      <xdr:rowOff>57150</xdr:rowOff>
    </xdr:to>
    <xdr:sp macro="" textlink="">
      <xdr:nvSpPr>
        <xdr:cNvPr id="11" name="CuadroTexto 10">
          <a:extLst>
            <a:ext uri="{FF2B5EF4-FFF2-40B4-BE49-F238E27FC236}">
              <a16:creationId xmlns:a16="http://schemas.microsoft.com/office/drawing/2014/main" id="{42A8BA1D-ADF2-4313-0BA1-7A5D33FD9506}"/>
            </a:ext>
            <a:ext uri="{147F2762-F138-4A5C-976F-8EAC2B608ADB}">
              <a16:predDERef xmlns:a16="http://schemas.microsoft.com/office/drawing/2014/main" pred="{CD25530B-E165-4AD9-50B0-79852917E6EA}"/>
            </a:ext>
          </a:extLst>
        </xdr:cNvPr>
        <xdr:cNvSpPr txBox="1"/>
      </xdr:nvSpPr>
      <xdr:spPr>
        <a:xfrm>
          <a:off x="9344025" y="11325225"/>
          <a:ext cx="6096000" cy="2162175"/>
        </a:xfrm>
        <a:prstGeom prst="rect">
          <a:avLst/>
        </a:prstGeom>
        <a:solidFill>
          <a:schemeClr val="accent6">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OJIVA</a:t>
          </a:r>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Datos utilizados para la construcción de la gráfica</a:t>
          </a:r>
        </a:p>
        <a:p>
          <a:pPr marL="0" indent="0" algn="l"/>
          <a:endParaRPr lang="en-US" sz="1100">
            <a:latin typeface="+mn-lt"/>
            <a:ea typeface="+mn-lt"/>
            <a:cs typeface="+mn-lt"/>
          </a:endParaRPr>
        </a:p>
        <a:p>
          <a:pPr marL="0" indent="0" algn="l"/>
          <a:r>
            <a:rPr lang="en-US" sz="1100">
              <a:latin typeface="+mn-lt"/>
              <a:ea typeface="+mn-lt"/>
              <a:cs typeface="+mn-lt"/>
            </a:rPr>
            <a:t>Marca de Clase (Punto Medio).</a:t>
          </a:r>
        </a:p>
        <a:p>
          <a:pPr marL="0" indent="0" algn="l"/>
          <a:r>
            <a:rPr lang="en-US" sz="1100">
              <a:latin typeface="+mn-lt"/>
              <a:ea typeface="+mn-lt"/>
              <a:cs typeface="+mn-lt"/>
            </a:rPr>
            <a:t>Frecuencia Acumulada (Fi).</a:t>
          </a:r>
        </a:p>
        <a:p>
          <a:pPr marL="0" indent="0" algn="l"/>
          <a:endParaRPr lang="en-US" sz="1100">
            <a:latin typeface="+mn-lt"/>
            <a:ea typeface="+mn-lt"/>
            <a:cs typeface="+mn-lt"/>
          </a:endParaRPr>
        </a:p>
        <a:p>
          <a:pPr marL="0" indent="0" algn="l"/>
          <a:r>
            <a:rPr lang="en-US" sz="1100">
              <a:latin typeface="+mn-lt"/>
              <a:ea typeface="+mn-lt"/>
              <a:cs typeface="+mn-lt"/>
            </a:rPr>
            <a:t>Objetivo de la gráfica</a:t>
          </a:r>
        </a:p>
        <a:p>
          <a:pPr marL="0" indent="0" algn="l"/>
          <a:endParaRPr lang="en-US" sz="1100">
            <a:latin typeface="+mn-lt"/>
            <a:ea typeface="+mn-lt"/>
            <a:cs typeface="+mn-lt"/>
          </a:endParaRPr>
        </a:p>
        <a:p>
          <a:pPr marL="0" indent="0" algn="l"/>
          <a:r>
            <a:rPr lang="en-US" sz="1100">
              <a:latin typeface="+mn-lt"/>
              <a:ea typeface="+mn-lt"/>
              <a:cs typeface="+mn-lt"/>
            </a:rPr>
            <a:t>La ojiva tiene como finalidad mostrar el comportamiento acumulado de las aplicaciones descargadas por los usuarios. Permite conocer cuántas observaciones se encuentran por debajo de un determinado valor y analizar la acumulación progresiva de los datos.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70"/>
  <sheetViews>
    <sheetView tabSelected="1" topLeftCell="G59" workbookViewId="0">
      <selection activeCell="I11" sqref="I11"/>
    </sheetView>
  </sheetViews>
  <sheetFormatPr baseColWidth="10" defaultColWidth="9.140625" defaultRowHeight="15" x14ac:dyDescent="0.25"/>
  <cols>
    <col min="3" max="3" width="19" customWidth="1"/>
    <col min="4" max="4" width="28.5703125" customWidth="1"/>
    <col min="5" max="5" width="31.28515625" customWidth="1"/>
    <col min="6" max="6" width="28.85546875" customWidth="1"/>
    <col min="8" max="8" width="0" hidden="1" customWidth="1"/>
    <col min="9" max="9" width="18.28515625" customWidth="1"/>
    <col min="10" max="10" width="24.85546875" customWidth="1"/>
    <col min="11" max="11" width="19" customWidth="1"/>
    <col min="12" max="12" width="16.85546875" customWidth="1"/>
    <col min="13" max="13" width="16.140625" customWidth="1"/>
    <col min="14" max="14" width="15.42578125" customWidth="1"/>
    <col min="15" max="15" width="25.140625" customWidth="1"/>
    <col min="16" max="16" width="15.5703125" customWidth="1"/>
    <col min="17" max="17" width="18.7109375" customWidth="1"/>
    <col min="23" max="23" width="17.5703125" customWidth="1"/>
    <col min="24" max="24" width="20.28515625" customWidth="1"/>
  </cols>
  <sheetData>
    <row r="1" spans="2:17" ht="15.75" thickBot="1" x14ac:dyDescent="0.3">
      <c r="I1" s="38" t="s">
        <v>29</v>
      </c>
      <c r="J1" s="39"/>
      <c r="K1" s="39"/>
      <c r="L1" s="39"/>
      <c r="M1" s="39"/>
      <c r="N1" s="39"/>
      <c r="O1" s="40"/>
    </row>
    <row r="2" spans="2:17" ht="24.75" x14ac:dyDescent="0.25">
      <c r="B2" s="3" t="s">
        <v>0</v>
      </c>
      <c r="C2" s="3" t="s">
        <v>1</v>
      </c>
      <c r="D2" s="2" t="s">
        <v>2</v>
      </c>
      <c r="E2" s="2" t="s">
        <v>3</v>
      </c>
      <c r="F2" s="2" t="s">
        <v>4</v>
      </c>
      <c r="I2" s="34" t="s">
        <v>5</v>
      </c>
      <c r="J2" s="34" t="s">
        <v>6</v>
      </c>
      <c r="K2" s="35" t="s">
        <v>7</v>
      </c>
      <c r="L2" s="36" t="s">
        <v>8</v>
      </c>
      <c r="M2" s="36" t="s">
        <v>9</v>
      </c>
      <c r="N2" s="37" t="s">
        <v>10</v>
      </c>
      <c r="O2" s="37" t="s">
        <v>11</v>
      </c>
    </row>
    <row r="3" spans="2:17" x14ac:dyDescent="0.25">
      <c r="B3" s="4">
        <v>1</v>
      </c>
      <c r="C3" s="5" t="s">
        <v>12</v>
      </c>
      <c r="D3" s="4" t="s">
        <v>13</v>
      </c>
      <c r="E3" s="4">
        <v>75</v>
      </c>
      <c r="F3" s="6">
        <v>4.5</v>
      </c>
      <c r="I3" s="10">
        <f>K13</f>
        <v>30</v>
      </c>
      <c r="J3" s="11">
        <f>I3+L17</f>
        <v>45</v>
      </c>
      <c r="K3" s="11">
        <f>(I3+J3)/2</f>
        <v>37.5</v>
      </c>
      <c r="L3" s="22">
        <f t="shared" ref="L3:L8" si="0">COUNTIFS(E$3:E$52,"&gt;="&amp;I3,E$3:E$52,"&lt;"&amp;J3)</f>
        <v>7</v>
      </c>
      <c r="M3" s="13">
        <f>L3/L10</f>
        <v>0.14000000000000001</v>
      </c>
      <c r="N3" s="10">
        <f>L3</f>
        <v>7</v>
      </c>
      <c r="O3" s="13">
        <f>M3</f>
        <v>0.14000000000000001</v>
      </c>
    </row>
    <row r="4" spans="2:17" x14ac:dyDescent="0.25">
      <c r="B4" s="4">
        <v>2</v>
      </c>
      <c r="C4" s="5" t="s">
        <v>14</v>
      </c>
      <c r="D4" s="4" t="s">
        <v>15</v>
      </c>
      <c r="E4" s="4">
        <v>30</v>
      </c>
      <c r="F4" s="6">
        <v>2.8</v>
      </c>
      <c r="I4" s="11">
        <f t="shared" ref="I4:I9" si="1">J3</f>
        <v>45</v>
      </c>
      <c r="J4" s="11">
        <f>I4+K17</f>
        <v>59.571428571428569</v>
      </c>
      <c r="K4" s="11">
        <f>(I4+J4)/2</f>
        <v>52.285714285714285</v>
      </c>
      <c r="L4" s="22">
        <f t="shared" si="0"/>
        <v>6</v>
      </c>
      <c r="M4" s="13">
        <f>L4/L10</f>
        <v>0.12</v>
      </c>
      <c r="N4" s="10">
        <f t="shared" ref="N4:O9" si="2">N3+L4</f>
        <v>13</v>
      </c>
      <c r="O4" s="13">
        <f t="shared" si="2"/>
        <v>0.26</v>
      </c>
    </row>
    <row r="5" spans="2:17" x14ac:dyDescent="0.25">
      <c r="B5" s="4">
        <v>3</v>
      </c>
      <c r="C5" s="5" t="s">
        <v>16</v>
      </c>
      <c r="D5" s="4" t="s">
        <v>17</v>
      </c>
      <c r="E5" s="4">
        <v>120</v>
      </c>
      <c r="F5" s="6">
        <v>7.1</v>
      </c>
      <c r="I5" s="11">
        <f t="shared" si="1"/>
        <v>59.571428571428569</v>
      </c>
      <c r="J5" s="11">
        <f>I5+L17</f>
        <v>74.571428571428569</v>
      </c>
      <c r="K5" s="11">
        <f>(I5+J5)/2</f>
        <v>67.071428571428569</v>
      </c>
      <c r="L5" s="22">
        <f t="shared" si="0"/>
        <v>10</v>
      </c>
      <c r="M5" s="13">
        <f>L5/L10</f>
        <v>0.2</v>
      </c>
      <c r="N5" s="10">
        <f t="shared" si="2"/>
        <v>23</v>
      </c>
      <c r="O5" s="13">
        <f t="shared" si="2"/>
        <v>0.46</v>
      </c>
    </row>
    <row r="6" spans="2:17" x14ac:dyDescent="0.25">
      <c r="B6" s="4">
        <v>4</v>
      </c>
      <c r="C6" s="5" t="s">
        <v>18</v>
      </c>
      <c r="D6" s="4" t="s">
        <v>13</v>
      </c>
      <c r="E6" s="4">
        <v>60</v>
      </c>
      <c r="F6" s="6">
        <v>5</v>
      </c>
      <c r="I6" s="11">
        <f t="shared" si="1"/>
        <v>74.571428571428569</v>
      </c>
      <c r="J6" s="11">
        <f>I6+L17</f>
        <v>89.571428571428569</v>
      </c>
      <c r="K6" s="11">
        <f>(I6+J6)/2</f>
        <v>82.071428571428569</v>
      </c>
      <c r="L6" s="22">
        <f t="shared" si="0"/>
        <v>9</v>
      </c>
      <c r="M6" s="13">
        <f>L6/L10</f>
        <v>0.18</v>
      </c>
      <c r="N6" s="10">
        <f t="shared" si="2"/>
        <v>32</v>
      </c>
      <c r="O6" s="13">
        <f t="shared" si="2"/>
        <v>0.64</v>
      </c>
    </row>
    <row r="7" spans="2:17" x14ac:dyDescent="0.25">
      <c r="B7" s="4">
        <v>5</v>
      </c>
      <c r="C7" s="5" t="s">
        <v>19</v>
      </c>
      <c r="D7" s="4" t="s">
        <v>13</v>
      </c>
      <c r="E7" s="4">
        <v>85</v>
      </c>
      <c r="F7" s="6">
        <v>6.3</v>
      </c>
      <c r="I7" s="11">
        <f t="shared" si="1"/>
        <v>89.571428571428569</v>
      </c>
      <c r="J7" s="11">
        <f>I7+L17</f>
        <v>104.57142857142857</v>
      </c>
      <c r="K7" s="12">
        <f>(I7+J7)/2</f>
        <v>97.071428571428569</v>
      </c>
      <c r="L7" s="22">
        <f t="shared" si="0"/>
        <v>8</v>
      </c>
      <c r="M7" s="13">
        <f>L7/L10</f>
        <v>0.16</v>
      </c>
      <c r="N7" s="10">
        <f t="shared" si="2"/>
        <v>40</v>
      </c>
      <c r="O7" s="13">
        <f t="shared" si="2"/>
        <v>0.8</v>
      </c>
    </row>
    <row r="8" spans="2:17" x14ac:dyDescent="0.25">
      <c r="B8" s="4">
        <v>6</v>
      </c>
      <c r="C8" s="5" t="s">
        <v>20</v>
      </c>
      <c r="D8" s="4" t="s">
        <v>15</v>
      </c>
      <c r="E8" s="4">
        <v>45</v>
      </c>
      <c r="F8" s="6">
        <v>3.2</v>
      </c>
      <c r="G8" s="9"/>
      <c r="I8" s="11">
        <f t="shared" si="1"/>
        <v>104.57142857142857</v>
      </c>
      <c r="J8" s="11">
        <f>I8+L17</f>
        <v>119.57142857142857</v>
      </c>
      <c r="K8" s="11">
        <f>(I$8+J8)/2</f>
        <v>112.07142857142857</v>
      </c>
      <c r="L8" s="22">
        <f t="shared" si="0"/>
        <v>5</v>
      </c>
      <c r="M8" s="13">
        <f>L8/L10</f>
        <v>0.1</v>
      </c>
      <c r="N8" s="10">
        <f t="shared" si="2"/>
        <v>45</v>
      </c>
      <c r="O8" s="13">
        <f t="shared" si="2"/>
        <v>0.9</v>
      </c>
    </row>
    <row r="9" spans="2:17" x14ac:dyDescent="0.25">
      <c r="B9" s="4">
        <v>7</v>
      </c>
      <c r="C9" s="5" t="s">
        <v>18</v>
      </c>
      <c r="D9" s="4" t="s">
        <v>13</v>
      </c>
      <c r="E9" s="4">
        <v>90</v>
      </c>
      <c r="F9" s="6">
        <v>5.8</v>
      </c>
      <c r="I9" s="17">
        <f t="shared" si="1"/>
        <v>119.57142857142857</v>
      </c>
      <c r="J9" s="17">
        <f>I9+L17</f>
        <v>134.57142857142856</v>
      </c>
      <c r="K9" s="17">
        <f>(I9+J9)/2</f>
        <v>127.07142857142856</v>
      </c>
      <c r="L9" s="23">
        <f>COUNTIFS(E3:E52,"&gt;="&amp;I9,E3:E52,"&lt;="&amp;J9)</f>
        <v>5</v>
      </c>
      <c r="M9" s="26">
        <f>L9/L10</f>
        <v>0.1</v>
      </c>
      <c r="N9" s="18">
        <f t="shared" si="2"/>
        <v>50</v>
      </c>
      <c r="O9" s="19">
        <f t="shared" si="2"/>
        <v>1</v>
      </c>
    </row>
    <row r="10" spans="2:17" x14ac:dyDescent="0.25">
      <c r="B10" s="4">
        <v>8</v>
      </c>
      <c r="C10" s="5" t="s">
        <v>14</v>
      </c>
      <c r="D10" s="4" t="s">
        <v>13</v>
      </c>
      <c r="E10" s="4">
        <v>70</v>
      </c>
      <c r="F10" s="6">
        <v>4.0999999999999996</v>
      </c>
      <c r="I10" s="20"/>
      <c r="J10" s="20"/>
      <c r="K10" s="20"/>
      <c r="L10" s="24">
        <f>SUM(L3:L9)</f>
        <v>50</v>
      </c>
      <c r="M10" s="21">
        <f>SUM(M3:M9)</f>
        <v>1</v>
      </c>
      <c r="N10" s="20"/>
      <c r="O10" s="20"/>
    </row>
    <row r="11" spans="2:17" x14ac:dyDescent="0.25">
      <c r="B11" s="4">
        <v>9</v>
      </c>
      <c r="C11" s="5" t="s">
        <v>16</v>
      </c>
      <c r="D11" s="4" t="s">
        <v>13</v>
      </c>
      <c r="E11" s="4">
        <v>100</v>
      </c>
      <c r="F11" s="6">
        <v>6.5</v>
      </c>
    </row>
    <row r="12" spans="2:17" x14ac:dyDescent="0.25">
      <c r="B12" s="4">
        <v>10</v>
      </c>
      <c r="C12" s="5" t="s">
        <v>18</v>
      </c>
      <c r="D12" s="4" t="s">
        <v>15</v>
      </c>
      <c r="E12" s="4">
        <v>50</v>
      </c>
      <c r="F12" s="6">
        <v>3.9</v>
      </c>
    </row>
    <row r="13" spans="2:17" ht="30" x14ac:dyDescent="0.25">
      <c r="B13" s="4">
        <v>11</v>
      </c>
      <c r="C13" s="5" t="s">
        <v>19</v>
      </c>
      <c r="D13" s="4" t="s">
        <v>17</v>
      </c>
      <c r="E13" s="4">
        <v>110</v>
      </c>
      <c r="F13" s="6">
        <v>7.8</v>
      </c>
      <c r="J13" s="25" t="s">
        <v>21</v>
      </c>
      <c r="K13" s="10">
        <f>MIN(E3:E52)</f>
        <v>30</v>
      </c>
      <c r="M13" s="8" t="s">
        <v>22</v>
      </c>
      <c r="N13">
        <f>COUNT(E3:E52)</f>
        <v>50</v>
      </c>
      <c r="O13" s="15"/>
      <c r="P13" s="14"/>
      <c r="Q13" s="14"/>
    </row>
    <row r="14" spans="2:17" x14ac:dyDescent="0.25">
      <c r="B14" s="4">
        <v>12</v>
      </c>
      <c r="C14" s="5" t="s">
        <v>20</v>
      </c>
      <c r="D14" s="4" t="s">
        <v>13</v>
      </c>
      <c r="E14" s="4">
        <v>65</v>
      </c>
      <c r="F14" s="6">
        <v>4.9000000000000004</v>
      </c>
      <c r="J14" s="25" t="s">
        <v>23</v>
      </c>
      <c r="K14" s="10">
        <f>MAX(E3:E52)</f>
        <v>132</v>
      </c>
      <c r="O14" s="16"/>
    </row>
    <row r="15" spans="2:17" x14ac:dyDescent="0.25">
      <c r="B15" s="4">
        <v>13</v>
      </c>
      <c r="C15" s="5" t="s">
        <v>18</v>
      </c>
      <c r="D15" s="4" t="s">
        <v>13</v>
      </c>
      <c r="E15" s="4">
        <v>80</v>
      </c>
      <c r="F15" s="6">
        <v>5.3</v>
      </c>
      <c r="J15" s="25" t="s">
        <v>24</v>
      </c>
      <c r="K15" s="10">
        <f>MAX(E3:E52)-MIN(E3:E52)</f>
        <v>102</v>
      </c>
      <c r="L15" s="7"/>
      <c r="O15" s="16"/>
    </row>
    <row r="16" spans="2:17" x14ac:dyDescent="0.25">
      <c r="B16" s="4">
        <v>14</v>
      </c>
      <c r="C16" s="5" t="s">
        <v>14</v>
      </c>
      <c r="D16" s="4" t="s">
        <v>15</v>
      </c>
      <c r="E16" s="4">
        <v>35</v>
      </c>
      <c r="F16" s="6">
        <v>2.5</v>
      </c>
      <c r="J16" s="25" t="s">
        <v>25</v>
      </c>
      <c r="K16" s="11">
        <f>ROUND(1+3.322*LOG10(50),0)</f>
        <v>7</v>
      </c>
      <c r="L16" s="14" t="s">
        <v>26</v>
      </c>
      <c r="M16" s="9"/>
      <c r="O16" s="16"/>
    </row>
    <row r="17" spans="2:29" x14ac:dyDescent="0.25">
      <c r="B17" s="4">
        <v>15</v>
      </c>
      <c r="C17" s="5" t="s">
        <v>16</v>
      </c>
      <c r="D17" s="4" t="s">
        <v>13</v>
      </c>
      <c r="E17" s="4">
        <v>95</v>
      </c>
      <c r="F17" s="6">
        <v>6</v>
      </c>
      <c r="J17" s="25" t="s">
        <v>27</v>
      </c>
      <c r="K17" s="12">
        <f>K15/K16</f>
        <v>14.571428571428571</v>
      </c>
      <c r="L17">
        <v>15</v>
      </c>
      <c r="O17" s="16"/>
    </row>
    <row r="18" spans="2:29" x14ac:dyDescent="0.25">
      <c r="B18" s="4">
        <v>16</v>
      </c>
      <c r="C18" s="5" t="s">
        <v>18</v>
      </c>
      <c r="D18" s="4" t="s">
        <v>13</v>
      </c>
      <c r="E18" s="4">
        <v>70</v>
      </c>
      <c r="F18" s="6">
        <v>4.8</v>
      </c>
      <c r="O18" s="16"/>
    </row>
    <row r="19" spans="2:29" x14ac:dyDescent="0.25">
      <c r="B19" s="4">
        <v>17</v>
      </c>
      <c r="C19" s="5" t="s">
        <v>19</v>
      </c>
      <c r="D19" s="4" t="s">
        <v>15</v>
      </c>
      <c r="E19" s="4">
        <v>40</v>
      </c>
      <c r="F19" s="6">
        <v>3</v>
      </c>
      <c r="O19" s="16"/>
    </row>
    <row r="20" spans="2:29" x14ac:dyDescent="0.25">
      <c r="B20" s="4">
        <v>18</v>
      </c>
      <c r="C20" s="5" t="s">
        <v>20</v>
      </c>
      <c r="D20" s="4" t="s">
        <v>17</v>
      </c>
      <c r="E20" s="4">
        <v>130</v>
      </c>
      <c r="F20" s="6">
        <v>8.5</v>
      </c>
      <c r="O20" s="16"/>
    </row>
    <row r="21" spans="2:29" x14ac:dyDescent="0.25">
      <c r="B21" s="4">
        <v>19</v>
      </c>
      <c r="C21" s="5" t="s">
        <v>18</v>
      </c>
      <c r="D21" s="4" t="s">
        <v>13</v>
      </c>
      <c r="E21" s="4">
        <v>105</v>
      </c>
      <c r="F21" s="6">
        <v>6.7</v>
      </c>
    </row>
    <row r="22" spans="2:29" x14ac:dyDescent="0.25">
      <c r="B22" s="4">
        <v>20</v>
      </c>
      <c r="C22" s="5" t="s">
        <v>14</v>
      </c>
      <c r="D22" s="4" t="s">
        <v>13</v>
      </c>
      <c r="E22" s="4">
        <v>80</v>
      </c>
      <c r="F22" s="6">
        <v>5.5</v>
      </c>
      <c r="J22" s="30" t="s">
        <v>28</v>
      </c>
      <c r="K22" s="31"/>
      <c r="L22" s="31"/>
      <c r="M22" s="31"/>
      <c r="N22" s="31"/>
      <c r="O22" s="27" t="s">
        <v>28</v>
      </c>
      <c r="P22" s="28"/>
      <c r="Q22" s="28"/>
      <c r="R22" s="28"/>
      <c r="S22" s="29"/>
      <c r="T22" s="30" t="s">
        <v>28</v>
      </c>
      <c r="U22" s="31"/>
      <c r="V22" s="31"/>
      <c r="W22" s="31"/>
      <c r="X22" s="31"/>
      <c r="Y22" s="31"/>
      <c r="Z22" s="31"/>
      <c r="AA22" s="31"/>
      <c r="AB22" s="31"/>
      <c r="AC22" s="33"/>
    </row>
    <row r="23" spans="2:29" x14ac:dyDescent="0.25">
      <c r="B23" s="4">
        <v>21</v>
      </c>
      <c r="C23" s="5" t="s">
        <v>18</v>
      </c>
      <c r="D23" s="4" t="s">
        <v>13</v>
      </c>
      <c r="E23" s="4">
        <v>72</v>
      </c>
      <c r="F23" s="6">
        <v>4.5999999999999996</v>
      </c>
    </row>
    <row r="24" spans="2:29" x14ac:dyDescent="0.25">
      <c r="B24" s="4">
        <v>22</v>
      </c>
      <c r="C24" s="5" t="s">
        <v>14</v>
      </c>
      <c r="D24" s="4" t="s">
        <v>15</v>
      </c>
      <c r="E24" s="4">
        <v>33</v>
      </c>
      <c r="F24" s="6">
        <v>2.9</v>
      </c>
    </row>
    <row r="25" spans="2:29" x14ac:dyDescent="0.25">
      <c r="B25" s="4">
        <v>23</v>
      </c>
      <c r="C25" s="5" t="s">
        <v>16</v>
      </c>
      <c r="D25" s="4" t="s">
        <v>17</v>
      </c>
      <c r="E25" s="4">
        <v>125</v>
      </c>
      <c r="F25" s="6">
        <v>7.3</v>
      </c>
    </row>
    <row r="26" spans="2:29" x14ac:dyDescent="0.25">
      <c r="B26" s="4">
        <v>24</v>
      </c>
      <c r="C26" s="5" t="s">
        <v>18</v>
      </c>
      <c r="D26" s="4" t="s">
        <v>13</v>
      </c>
      <c r="E26" s="4">
        <v>63</v>
      </c>
      <c r="F26" s="6">
        <v>5.0999999999999996</v>
      </c>
    </row>
    <row r="27" spans="2:29" x14ac:dyDescent="0.25">
      <c r="B27" s="4">
        <v>25</v>
      </c>
      <c r="C27" s="5" t="s">
        <v>19</v>
      </c>
      <c r="D27" s="4" t="s">
        <v>13</v>
      </c>
      <c r="E27" s="4">
        <v>88</v>
      </c>
      <c r="F27" s="6">
        <v>6.4</v>
      </c>
    </row>
    <row r="28" spans="2:29" x14ac:dyDescent="0.25">
      <c r="B28" s="4">
        <v>26</v>
      </c>
      <c r="C28" s="5" t="s">
        <v>20</v>
      </c>
      <c r="D28" s="4" t="s">
        <v>15</v>
      </c>
      <c r="E28" s="4">
        <v>48</v>
      </c>
      <c r="F28" s="6">
        <v>3.3</v>
      </c>
    </row>
    <row r="29" spans="2:29" x14ac:dyDescent="0.25">
      <c r="B29" s="4">
        <v>27</v>
      </c>
      <c r="C29" s="5" t="s">
        <v>18</v>
      </c>
      <c r="D29" s="4" t="s">
        <v>13</v>
      </c>
      <c r="E29" s="4">
        <v>92</v>
      </c>
      <c r="F29" s="6">
        <v>5.9</v>
      </c>
    </row>
    <row r="30" spans="2:29" x14ac:dyDescent="0.25">
      <c r="B30" s="4">
        <v>28</v>
      </c>
      <c r="C30" s="5" t="s">
        <v>14</v>
      </c>
      <c r="D30" s="4" t="s">
        <v>13</v>
      </c>
      <c r="E30" s="4">
        <v>73</v>
      </c>
      <c r="F30" s="6">
        <v>4.2</v>
      </c>
    </row>
    <row r="31" spans="2:29" x14ac:dyDescent="0.25">
      <c r="B31" s="4">
        <v>29</v>
      </c>
      <c r="C31" s="5" t="s">
        <v>16</v>
      </c>
      <c r="D31" s="4" t="s">
        <v>13</v>
      </c>
      <c r="E31" s="4">
        <v>103</v>
      </c>
      <c r="F31" s="6">
        <v>6.6</v>
      </c>
    </row>
    <row r="32" spans="2:29" x14ac:dyDescent="0.25">
      <c r="B32" s="4">
        <v>30</v>
      </c>
      <c r="C32" s="5" t="s">
        <v>18</v>
      </c>
      <c r="D32" s="4" t="s">
        <v>15</v>
      </c>
      <c r="E32" s="4">
        <v>52</v>
      </c>
      <c r="F32" s="6">
        <v>4</v>
      </c>
    </row>
    <row r="33" spans="2:24" x14ac:dyDescent="0.25">
      <c r="B33" s="4">
        <v>31</v>
      </c>
      <c r="C33" s="5" t="s">
        <v>19</v>
      </c>
      <c r="D33" s="4" t="s">
        <v>17</v>
      </c>
      <c r="E33" s="4">
        <v>112</v>
      </c>
      <c r="F33" s="6">
        <v>7.9</v>
      </c>
    </row>
    <row r="34" spans="2:24" x14ac:dyDescent="0.25">
      <c r="B34" s="4">
        <v>32</v>
      </c>
      <c r="C34" s="5" t="s">
        <v>20</v>
      </c>
      <c r="D34" s="4" t="s">
        <v>13</v>
      </c>
      <c r="E34" s="4">
        <v>68</v>
      </c>
      <c r="F34" s="6">
        <v>5</v>
      </c>
    </row>
    <row r="35" spans="2:24" x14ac:dyDescent="0.25">
      <c r="B35" s="4">
        <v>33</v>
      </c>
      <c r="C35" s="5" t="s">
        <v>18</v>
      </c>
      <c r="D35" s="4" t="s">
        <v>13</v>
      </c>
      <c r="E35" s="4">
        <v>82</v>
      </c>
      <c r="F35" s="6">
        <v>5.4</v>
      </c>
    </row>
    <row r="36" spans="2:24" x14ac:dyDescent="0.25">
      <c r="B36" s="4">
        <v>34</v>
      </c>
      <c r="C36" s="5" t="s">
        <v>14</v>
      </c>
      <c r="D36" s="4" t="s">
        <v>15</v>
      </c>
      <c r="E36" s="4">
        <v>38</v>
      </c>
      <c r="F36" s="6">
        <v>2.6</v>
      </c>
    </row>
    <row r="37" spans="2:24" x14ac:dyDescent="0.25">
      <c r="B37" s="4">
        <v>35</v>
      </c>
      <c r="C37" s="5" t="s">
        <v>16</v>
      </c>
      <c r="D37" s="4" t="s">
        <v>13</v>
      </c>
      <c r="E37" s="4">
        <v>98</v>
      </c>
      <c r="F37" s="6">
        <v>6.1</v>
      </c>
    </row>
    <row r="38" spans="2:24" x14ac:dyDescent="0.25">
      <c r="B38" s="4">
        <v>36</v>
      </c>
      <c r="C38" s="5" t="s">
        <v>18</v>
      </c>
      <c r="D38" s="4" t="s">
        <v>13</v>
      </c>
      <c r="E38" s="4">
        <v>71</v>
      </c>
      <c r="F38" s="6">
        <v>4.7</v>
      </c>
    </row>
    <row r="39" spans="2:24" x14ac:dyDescent="0.25">
      <c r="B39" s="4">
        <v>37</v>
      </c>
      <c r="C39" s="5" t="s">
        <v>19</v>
      </c>
      <c r="D39" s="4" t="s">
        <v>15</v>
      </c>
      <c r="E39" s="4">
        <v>42</v>
      </c>
      <c r="F39" s="6">
        <v>3.1</v>
      </c>
    </row>
    <row r="40" spans="2:24" x14ac:dyDescent="0.25">
      <c r="B40" s="4">
        <v>38</v>
      </c>
      <c r="C40" s="5" t="s">
        <v>20</v>
      </c>
      <c r="D40" s="4" t="s">
        <v>17</v>
      </c>
      <c r="E40" s="4">
        <v>132</v>
      </c>
      <c r="F40" s="6">
        <v>8.6</v>
      </c>
    </row>
    <row r="41" spans="2:24" x14ac:dyDescent="0.25">
      <c r="B41" s="4">
        <v>39</v>
      </c>
      <c r="C41" s="5" t="s">
        <v>18</v>
      </c>
      <c r="D41" s="4" t="s">
        <v>13</v>
      </c>
      <c r="E41" s="4">
        <v>107</v>
      </c>
      <c r="F41" s="6">
        <v>6.8</v>
      </c>
    </row>
    <row r="42" spans="2:24" x14ac:dyDescent="0.25">
      <c r="B42" s="4">
        <v>40</v>
      </c>
      <c r="C42" s="5" t="s">
        <v>14</v>
      </c>
      <c r="D42" s="4" t="s">
        <v>13</v>
      </c>
      <c r="E42" s="4">
        <v>83</v>
      </c>
      <c r="F42" s="6">
        <v>5.6</v>
      </c>
    </row>
    <row r="43" spans="2:24" x14ac:dyDescent="0.25">
      <c r="B43" s="4">
        <v>41</v>
      </c>
      <c r="C43" s="5" t="s">
        <v>18</v>
      </c>
      <c r="D43" s="4" t="s">
        <v>13</v>
      </c>
      <c r="E43" s="4">
        <v>78</v>
      </c>
      <c r="F43" s="6">
        <v>5</v>
      </c>
    </row>
    <row r="44" spans="2:24" x14ac:dyDescent="0.25">
      <c r="B44" s="4">
        <v>42</v>
      </c>
      <c r="C44" s="5" t="s">
        <v>14</v>
      </c>
      <c r="D44" s="4" t="s">
        <v>15</v>
      </c>
      <c r="E44" s="4">
        <v>36</v>
      </c>
      <c r="F44" s="6">
        <v>2.7</v>
      </c>
    </row>
    <row r="45" spans="2:24" x14ac:dyDescent="0.25">
      <c r="B45" s="4">
        <v>43</v>
      </c>
      <c r="C45" s="5" t="s">
        <v>16</v>
      </c>
      <c r="D45" s="4" t="s">
        <v>17</v>
      </c>
      <c r="E45" s="4">
        <v>128</v>
      </c>
      <c r="F45" s="6">
        <v>7.5</v>
      </c>
    </row>
    <row r="46" spans="2:24" x14ac:dyDescent="0.25">
      <c r="B46" s="4">
        <v>44</v>
      </c>
      <c r="C46" s="5" t="s">
        <v>18</v>
      </c>
      <c r="D46" s="4" t="s">
        <v>13</v>
      </c>
      <c r="E46" s="4">
        <v>65</v>
      </c>
      <c r="F46" s="6">
        <v>5.2</v>
      </c>
    </row>
    <row r="47" spans="2:24" x14ac:dyDescent="0.25">
      <c r="B47" s="4">
        <v>45</v>
      </c>
      <c r="C47" s="5" t="s">
        <v>19</v>
      </c>
      <c r="D47" s="4" t="s">
        <v>13</v>
      </c>
      <c r="E47" s="4">
        <v>90</v>
      </c>
      <c r="F47" s="6">
        <v>6.5</v>
      </c>
    </row>
    <row r="48" spans="2:24" x14ac:dyDescent="0.25">
      <c r="B48" s="4">
        <v>46</v>
      </c>
      <c r="C48" s="5" t="s">
        <v>20</v>
      </c>
      <c r="D48" s="4" t="s">
        <v>15</v>
      </c>
      <c r="E48" s="4">
        <v>47</v>
      </c>
      <c r="F48" s="6">
        <v>3.4</v>
      </c>
      <c r="W48" s="15"/>
      <c r="X48" s="15"/>
    </row>
    <row r="49" spans="2:24" x14ac:dyDescent="0.25">
      <c r="B49" s="4">
        <v>47</v>
      </c>
      <c r="C49" s="5" t="s">
        <v>18</v>
      </c>
      <c r="D49" s="4" t="s">
        <v>13</v>
      </c>
      <c r="E49" s="4">
        <v>95</v>
      </c>
      <c r="F49" s="6">
        <v>6</v>
      </c>
      <c r="W49" s="16"/>
      <c r="X49" s="16"/>
    </row>
    <row r="50" spans="2:24" x14ac:dyDescent="0.25">
      <c r="B50" s="4">
        <v>48</v>
      </c>
      <c r="C50" s="5" t="s">
        <v>14</v>
      </c>
      <c r="D50" s="4" t="s">
        <v>13</v>
      </c>
      <c r="E50" s="4">
        <v>75</v>
      </c>
      <c r="F50" s="6">
        <v>4.3</v>
      </c>
      <c r="W50" s="16"/>
      <c r="X50" s="16"/>
    </row>
    <row r="51" spans="2:24" x14ac:dyDescent="0.25">
      <c r="B51" s="4">
        <v>49</v>
      </c>
      <c r="C51" s="5" t="s">
        <v>16</v>
      </c>
      <c r="D51" s="4" t="s">
        <v>13</v>
      </c>
      <c r="E51" s="4">
        <v>105</v>
      </c>
      <c r="F51" s="6">
        <v>6.7</v>
      </c>
      <c r="W51" s="16"/>
      <c r="X51" s="16"/>
    </row>
    <row r="52" spans="2:24" x14ac:dyDescent="0.25">
      <c r="B52" s="4">
        <v>50</v>
      </c>
      <c r="C52" s="5" t="s">
        <v>18</v>
      </c>
      <c r="D52" s="4" t="s">
        <v>15</v>
      </c>
      <c r="E52" s="4">
        <v>55</v>
      </c>
      <c r="F52" s="6">
        <v>4.0999999999999996</v>
      </c>
      <c r="W52" s="16"/>
      <c r="X52" s="16"/>
    </row>
    <row r="53" spans="2:24" x14ac:dyDescent="0.25">
      <c r="C53" s="1"/>
      <c r="W53" s="16"/>
      <c r="X53" s="16"/>
    </row>
    <row r="54" spans="2:24" x14ac:dyDescent="0.25">
      <c r="C54" s="1"/>
      <c r="W54" s="16"/>
      <c r="X54" s="16"/>
    </row>
    <row r="55" spans="2:24" x14ac:dyDescent="0.25">
      <c r="W55" s="16"/>
      <c r="X55" s="16"/>
    </row>
    <row r="56" spans="2:24" x14ac:dyDescent="0.25">
      <c r="W56" s="16"/>
      <c r="X56" s="16"/>
    </row>
    <row r="63" spans="2:24" x14ac:dyDescent="0.25">
      <c r="O63" s="16"/>
      <c r="P63" s="16"/>
    </row>
    <row r="64" spans="2:24" x14ac:dyDescent="0.25">
      <c r="O64" s="16"/>
      <c r="P64" s="16"/>
    </row>
    <row r="65" spans="10:17" x14ac:dyDescent="0.25">
      <c r="O65" s="16"/>
      <c r="P65" s="16"/>
    </row>
    <row r="66" spans="10:17" x14ac:dyDescent="0.25">
      <c r="J66" s="32"/>
      <c r="K66" s="32"/>
      <c r="L66" s="32"/>
      <c r="O66" s="16"/>
      <c r="P66" s="14"/>
      <c r="Q66" s="14"/>
    </row>
    <row r="67" spans="10:17" x14ac:dyDescent="0.25">
      <c r="J67" s="32"/>
      <c r="K67" s="32"/>
      <c r="L67" s="32"/>
      <c r="O67" s="16"/>
    </row>
    <row r="68" spans="10:17" x14ac:dyDescent="0.25">
      <c r="O68" s="16"/>
    </row>
    <row r="69" spans="10:17" x14ac:dyDescent="0.25">
      <c r="O69" s="16"/>
    </row>
    <row r="70" spans="10:17" x14ac:dyDescent="0.25">
      <c r="O70" s="16"/>
    </row>
  </sheetData>
  <mergeCells count="5">
    <mergeCell ref="J22:N22"/>
    <mergeCell ref="J66:L66"/>
    <mergeCell ref="J67:L67"/>
    <mergeCell ref="T22:AC22"/>
    <mergeCell ref="I1:O1"/>
  </mergeCells>
  <dataValidations count="2">
    <dataValidation type="list" allowBlank="1" showInputMessage="1" showErrorMessage="1" sqref="C3:C54" xr:uid="{F890D56D-5726-498C-AEF3-EEF4F5175DC1}">
      <formula1>"México,Colombia,Argentina,Chile,Perú"</formula1>
    </dataValidation>
    <dataValidation type="list" allowBlank="1" showInputMessage="1" showErrorMessage="1" sqref="D3:D52" xr:uid="{4EE329F0-8574-4679-AA08-3C4FBF7100AC}">
      <formula1>"Medio,Alto,Bajo"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jhoana mosquera</dc:creator>
  <cp:keywords/>
  <dc:description/>
  <cp:lastModifiedBy>jhoana urbano</cp:lastModifiedBy>
  <cp:revision/>
  <dcterms:created xsi:type="dcterms:W3CDTF">2026-06-13T02:25:40Z</dcterms:created>
  <dcterms:modified xsi:type="dcterms:W3CDTF">2026-06-15T18:57:54Z</dcterms:modified>
  <cp:category/>
  <cp:contentStatus/>
</cp:coreProperties>
</file>